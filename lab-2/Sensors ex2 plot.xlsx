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/>
  <mc:AlternateContent xmlns:mc="http://schemas.openxmlformats.org/markup-compatibility/2006">
    <mc:Choice Requires="x15">
      <x15ac:absPath xmlns:x15ac="http://schemas.microsoft.com/office/spreadsheetml/2010/11/ac" url="https://ntuagr-my.sharepoint.com/personal/el20849_ntua_gr/Documents/Επιφάνεια εργασίας/Σχολή/ΕΜΠ/Τεχνολογία Αισθητήρων και Μικροσυστημάτων/Εργαστήρια/Αναφορές Αισθητήρες/"/>
    </mc:Choice>
  </mc:AlternateContent>
  <xr:revisionPtr revIDLastSave="413" documentId="8_{64E26431-C378-40A7-B450-DFB7387E044D}" xr6:coauthVersionLast="47" xr6:coauthVersionMax="47" xr10:uidLastSave="{7E592C69-78E9-4795-849A-DC01A9CCF1A9}"/>
  <bookViews>
    <workbookView minimized="1" xWindow="2448" yWindow="2448" windowWidth="16368" windowHeight="8592" activeTab="1" xr2:uid="{D2144D66-AFDD-4408-B79A-69638DA51A39}"/>
  </bookViews>
  <sheets>
    <sheet name="πεδίο" sheetId="2" r:id="rId1"/>
    <sheet name="θέση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9" i="2"/>
  <c r="H8" i="2"/>
  <c r="H7" i="2"/>
  <c r="H6" i="2"/>
  <c r="H5" i="2"/>
  <c r="H4" i="2"/>
  <c r="H3" i="2"/>
  <c r="H2" i="2"/>
  <c r="D3" i="2"/>
  <c r="D4" i="2"/>
  <c r="D5" i="2"/>
  <c r="D6" i="2"/>
  <c r="D7" i="2"/>
  <c r="D8" i="2"/>
  <c r="D9" i="2"/>
  <c r="D10" i="2"/>
  <c r="D2" i="2"/>
</calcChain>
</file>

<file path=xl/sharedStrings.xml><?xml version="1.0" encoding="utf-8"?>
<sst xmlns="http://schemas.openxmlformats.org/spreadsheetml/2006/main" count="10" uniqueCount="8">
  <si>
    <t>VDC (V)</t>
  </si>
  <si>
    <t>t1,2 (μs)</t>
  </si>
  <si>
    <t>T/2 (μs)</t>
  </si>
  <si>
    <t>Δt (1kHz)</t>
  </si>
  <si>
    <t>Δt (5kHz)</t>
  </si>
  <si>
    <t>x (mm)</t>
  </si>
  <si>
    <t>V (mV) 1kHz</t>
  </si>
  <si>
    <t>V (mV) 5kHz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</si>
</sst>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Δ</a:t>
            </a:r>
            <a:r>
              <a:rPr lang="en-US"/>
              <a:t>t</a:t>
            </a:r>
            <a:r>
              <a:rPr lang="en-US" baseline="0"/>
              <a:t>(VDC)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πεδίο!$D$1</c:f>
              <c:strCache>
                <c:ptCount val="1"/>
                <c:pt idx="0">
                  <c:v>Δt (1kHz)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πεδίο!$A$2:$A$10</c:f>
              <c:numCache>
                <c:formatCode>General</c:formatCode>
                <c:ptCount val="9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πεδίο!$D$2:$D$10</c:f>
              <c:numCache>
                <c:formatCode>General</c:formatCode>
                <c:ptCount val="9"/>
                <c:pt idx="0">
                  <c:v>-270</c:v>
                </c:pt>
                <c:pt idx="1">
                  <c:v>-190</c:v>
                </c:pt>
                <c:pt idx="2">
                  <c:v>-120</c:v>
                </c:pt>
                <c:pt idx="3">
                  <c:v>-50</c:v>
                </c:pt>
                <c:pt idx="4">
                  <c:v>10</c:v>
                </c:pt>
                <c:pt idx="5">
                  <c:v>80</c:v>
                </c:pt>
                <c:pt idx="6">
                  <c:v>150</c:v>
                </c:pt>
                <c:pt idx="7">
                  <c:v>230</c:v>
                </c:pt>
                <c:pt idx="8">
                  <c:v>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7B-430D-97A6-94A57D0295D3}"/>
            </c:ext>
          </c:extLst>
        </c:ser>
        <c:ser>
          <c:idx val="1"/>
          <c:order val="1"/>
          <c:tx>
            <c:strRef>
              <c:f>πεδίο!$H$1</c:f>
              <c:strCache>
                <c:ptCount val="1"/>
                <c:pt idx="0">
                  <c:v>Δt (5kHz)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πεδίο!$A$2:$A$10</c:f>
              <c:numCache>
                <c:formatCode>General</c:formatCode>
                <c:ptCount val="9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πεδίο!$H$2:$H$10</c:f>
              <c:numCache>
                <c:formatCode>General</c:formatCode>
                <c:ptCount val="9"/>
                <c:pt idx="0">
                  <c:v>-54</c:v>
                </c:pt>
                <c:pt idx="1">
                  <c:v>-38</c:v>
                </c:pt>
                <c:pt idx="2">
                  <c:v>-26</c:v>
                </c:pt>
                <c:pt idx="3">
                  <c:v>-10</c:v>
                </c:pt>
                <c:pt idx="4">
                  <c:v>2</c:v>
                </c:pt>
                <c:pt idx="5">
                  <c:v>16</c:v>
                </c:pt>
                <c:pt idx="6">
                  <c:v>30</c:v>
                </c:pt>
                <c:pt idx="7">
                  <c:v>46</c:v>
                </c:pt>
                <c:pt idx="8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7B-430D-97A6-94A57D029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1455"/>
        <c:axId val="40928095"/>
      </c:scatterChart>
      <c:valAx>
        <c:axId val="4093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VDC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928095"/>
        <c:crosses val="autoZero"/>
        <c:crossBetween val="midCat"/>
      </c:valAx>
      <c:valAx>
        <c:axId val="409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en-US"/>
                  <a:t>t</a:t>
                </a:r>
                <a:r>
                  <a:rPr lang="en-US" baseline="0"/>
                  <a:t> (</a:t>
                </a:r>
                <a:r>
                  <a:rPr lang="el-GR" baseline="0"/>
                  <a:t>μ</a:t>
                </a:r>
                <a:r>
                  <a:rPr lang="en-US" baseline="0"/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93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V(x)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θέση!$B$1</c:f>
              <c:strCache>
                <c:ptCount val="1"/>
                <c:pt idx="0">
                  <c:v>V (mV) 1kHz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θέση!$A$2:$A$10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θέση!$B$2:$B$10</c:f>
              <c:numCache>
                <c:formatCode>General</c:formatCode>
                <c:ptCount val="9"/>
                <c:pt idx="0">
                  <c:v>456</c:v>
                </c:pt>
                <c:pt idx="1">
                  <c:v>440</c:v>
                </c:pt>
                <c:pt idx="2">
                  <c:v>416</c:v>
                </c:pt>
                <c:pt idx="3">
                  <c:v>384</c:v>
                </c:pt>
                <c:pt idx="4">
                  <c:v>332</c:v>
                </c:pt>
                <c:pt idx="5">
                  <c:v>288</c:v>
                </c:pt>
                <c:pt idx="6">
                  <c:v>248</c:v>
                </c:pt>
                <c:pt idx="7">
                  <c:v>208</c:v>
                </c:pt>
                <c:pt idx="8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87-4E24-955E-E3F5B3EF42D8}"/>
            </c:ext>
          </c:extLst>
        </c:ser>
        <c:ser>
          <c:idx val="1"/>
          <c:order val="1"/>
          <c:tx>
            <c:strRef>
              <c:f>θέση!$D$1</c:f>
              <c:strCache>
                <c:ptCount val="1"/>
                <c:pt idx="0">
                  <c:v>V (mV) 5kHz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θέση!$A$2:$A$10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θέση!$D$2:$D$10</c:f>
              <c:numCache>
                <c:formatCode>General</c:formatCode>
                <c:ptCount val="9"/>
                <c:pt idx="0">
                  <c:v>1170</c:v>
                </c:pt>
                <c:pt idx="1">
                  <c:v>1160</c:v>
                </c:pt>
                <c:pt idx="2">
                  <c:v>1120</c:v>
                </c:pt>
                <c:pt idx="3">
                  <c:v>1020</c:v>
                </c:pt>
                <c:pt idx="4">
                  <c:v>904</c:v>
                </c:pt>
                <c:pt idx="5">
                  <c:v>792</c:v>
                </c:pt>
                <c:pt idx="6">
                  <c:v>696</c:v>
                </c:pt>
                <c:pt idx="7">
                  <c:v>592</c:v>
                </c:pt>
                <c:pt idx="8">
                  <c:v>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87-4E24-955E-E3F5B3EF4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1455"/>
        <c:axId val="40928095"/>
      </c:scatterChart>
      <c:valAx>
        <c:axId val="4093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928095"/>
        <c:crosses val="autoZero"/>
        <c:crossBetween val="midCat"/>
      </c:valAx>
      <c:valAx>
        <c:axId val="409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V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93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586740</xdr:colOff>
      <xdr:row>1</xdr:row>
      <xdr:rowOff>140970</xdr:rowOff>
    </xdr:from>
    <xdr:to>
      <xdr:col>17</xdr:col>
      <xdr:colOff>281940</xdr:colOff>
      <xdr:row>16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C97DF0-1625-F7A8-4E8F-8E3D398A7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1</xdr:row>
      <xdr:rowOff>87630</xdr:rowOff>
    </xdr:from>
    <xdr:to>
      <xdr:col>13</xdr:col>
      <xdr:colOff>502920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422F04-34D8-44CE-A00A-E6A163C5C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A64B-56C2-4B46-8DFD-8250B462DBE1}">
  <dimension ref="A1:H10"/>
  <sheetViews>
    <sheetView topLeftCell="H1" workbookViewId="0">
      <selection activeCell="P24" sqref="P24"/>
    </sheetView>
  </sheetViews>
  <sheetFormatPr defaultRowHeight="14.4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F1" s="1" t="s">
        <v>1</v>
      </c>
      <c r="G1" s="1" t="s">
        <v>2</v>
      </c>
      <c r="H1" s="1" t="s">
        <v>4</v>
      </c>
    </row>
    <row r="2" spans="1:8">
      <c r="A2">
        <v>-2</v>
      </c>
      <c r="B2">
        <v>770</v>
      </c>
      <c r="C2">
        <v>500</v>
      </c>
      <c r="D2">
        <f>C2-B2</f>
        <v>-270</v>
      </c>
      <c r="F2">
        <v>154</v>
      </c>
      <c r="G2">
        <v>100</v>
      </c>
      <c r="H2">
        <f>G2-F2</f>
        <v>-54</v>
      </c>
    </row>
    <row r="3" spans="1:8">
      <c r="A3">
        <v>-1.5</v>
      </c>
      <c r="B3">
        <v>690</v>
      </c>
      <c r="C3">
        <v>500</v>
      </c>
      <c r="D3">
        <f t="shared" ref="D3:D10" si="0">C3-B3</f>
        <v>-190</v>
      </c>
      <c r="F3">
        <v>138</v>
      </c>
      <c r="G3">
        <v>100</v>
      </c>
      <c r="H3">
        <f t="shared" ref="H3:H10" si="1">G3-F3</f>
        <v>-38</v>
      </c>
    </row>
    <row r="4" spans="1:8">
      <c r="A4">
        <v>-1</v>
      </c>
      <c r="B4">
        <v>620</v>
      </c>
      <c r="C4">
        <v>500</v>
      </c>
      <c r="D4">
        <f t="shared" si="0"/>
        <v>-120</v>
      </c>
      <c r="F4">
        <v>126</v>
      </c>
      <c r="G4">
        <v>100</v>
      </c>
      <c r="H4">
        <f t="shared" si="1"/>
        <v>-26</v>
      </c>
    </row>
    <row r="5" spans="1:8">
      <c r="A5">
        <v>-0.5</v>
      </c>
      <c r="B5">
        <v>550</v>
      </c>
      <c r="C5">
        <v>500</v>
      </c>
      <c r="D5">
        <f t="shared" si="0"/>
        <v>-50</v>
      </c>
      <c r="F5">
        <v>110</v>
      </c>
      <c r="G5">
        <v>100</v>
      </c>
      <c r="H5">
        <f t="shared" si="1"/>
        <v>-10</v>
      </c>
    </row>
    <row r="6" spans="1:8">
      <c r="A6">
        <v>0</v>
      </c>
      <c r="B6">
        <v>490</v>
      </c>
      <c r="C6">
        <v>500</v>
      </c>
      <c r="D6">
        <f t="shared" si="0"/>
        <v>10</v>
      </c>
      <c r="F6">
        <v>98</v>
      </c>
      <c r="G6">
        <v>100</v>
      </c>
      <c r="H6">
        <f t="shared" si="1"/>
        <v>2</v>
      </c>
    </row>
    <row r="7" spans="1:8">
      <c r="A7">
        <v>0.5</v>
      </c>
      <c r="B7">
        <v>420</v>
      </c>
      <c r="C7">
        <v>500</v>
      </c>
      <c r="D7">
        <f t="shared" si="0"/>
        <v>80</v>
      </c>
      <c r="F7">
        <v>84</v>
      </c>
      <c r="G7">
        <v>100</v>
      </c>
      <c r="H7">
        <f t="shared" si="1"/>
        <v>16</v>
      </c>
    </row>
    <row r="8" spans="1:8">
      <c r="A8">
        <v>1</v>
      </c>
      <c r="B8">
        <v>350</v>
      </c>
      <c r="C8">
        <v>500</v>
      </c>
      <c r="D8">
        <f t="shared" si="0"/>
        <v>150</v>
      </c>
      <c r="F8">
        <v>70</v>
      </c>
      <c r="G8">
        <v>100</v>
      </c>
      <c r="H8">
        <f t="shared" si="1"/>
        <v>30</v>
      </c>
    </row>
    <row r="9" spans="1:8">
      <c r="A9">
        <v>1.5</v>
      </c>
      <c r="B9">
        <v>270</v>
      </c>
      <c r="C9">
        <v>500</v>
      </c>
      <c r="D9">
        <f t="shared" si="0"/>
        <v>230</v>
      </c>
      <c r="F9">
        <v>54</v>
      </c>
      <c r="G9">
        <v>100</v>
      </c>
      <c r="H9">
        <f t="shared" si="1"/>
        <v>46</v>
      </c>
    </row>
    <row r="10" spans="1:8">
      <c r="A10">
        <v>2</v>
      </c>
      <c r="B10">
        <v>170</v>
      </c>
      <c r="C10">
        <v>500</v>
      </c>
      <c r="D10">
        <f t="shared" si="0"/>
        <v>330</v>
      </c>
      <c r="F10">
        <v>40</v>
      </c>
      <c r="G10">
        <v>100</v>
      </c>
      <c r="H10">
        <f t="shared" si="1"/>
        <v>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BB-537D-4127-A5BD-95A3A9151E81}">
  <dimension ref="A1:E12"/>
  <sheetViews>
    <sheetView tabSelected="1" workbookViewId="0">
      <selection activeCell="D2" sqref="D2:D12"/>
    </sheetView>
  </sheetViews>
  <sheetFormatPr defaultRowHeight="14.45"/>
  <cols>
    <col min="2" max="2" width="10.42578125" customWidth="1"/>
    <col min="4" max="4" width="11.7109375" customWidth="1"/>
  </cols>
  <sheetData>
    <row r="1" spans="1:5">
      <c r="A1" s="1" t="s">
        <v>5</v>
      </c>
      <c r="B1" s="1" t="s">
        <v>6</v>
      </c>
      <c r="C1" s="1"/>
      <c r="D1" s="1" t="s">
        <v>7</v>
      </c>
      <c r="E1" s="1"/>
    </row>
    <row r="2" spans="1:5">
      <c r="A2">
        <v>0</v>
      </c>
      <c r="B2">
        <v>456</v>
      </c>
      <c r="D2">
        <v>1170</v>
      </c>
    </row>
    <row r="3" spans="1:5">
      <c r="A3">
        <v>5</v>
      </c>
      <c r="B3">
        <v>440</v>
      </c>
      <c r="D3">
        <v>1160</v>
      </c>
    </row>
    <row r="4" spans="1:5">
      <c r="A4">
        <v>10</v>
      </c>
      <c r="B4">
        <v>416</v>
      </c>
      <c r="D4">
        <v>1120</v>
      </c>
    </row>
    <row r="5" spans="1:5">
      <c r="A5">
        <v>15</v>
      </c>
      <c r="B5">
        <v>384</v>
      </c>
      <c r="D5">
        <v>1020</v>
      </c>
    </row>
    <row r="6" spans="1:5">
      <c r="A6">
        <v>20</v>
      </c>
      <c r="B6">
        <v>332</v>
      </c>
      <c r="D6">
        <v>904</v>
      </c>
    </row>
    <row r="7" spans="1:5">
      <c r="A7">
        <v>25</v>
      </c>
      <c r="B7">
        <v>288</v>
      </c>
      <c r="D7">
        <v>792</v>
      </c>
    </row>
    <row r="8" spans="1:5">
      <c r="A8">
        <v>30</v>
      </c>
      <c r="B8">
        <v>248</v>
      </c>
      <c r="D8">
        <v>696</v>
      </c>
    </row>
    <row r="9" spans="1:5">
      <c r="A9">
        <v>35</v>
      </c>
      <c r="B9">
        <v>208</v>
      </c>
      <c r="D9">
        <v>592</v>
      </c>
    </row>
    <row r="10" spans="1:5">
      <c r="A10">
        <v>40</v>
      </c>
      <c r="B10">
        <v>172</v>
      </c>
      <c r="D10">
        <v>496</v>
      </c>
    </row>
    <row r="11" spans="1:5">
      <c r="A11">
        <v>45</v>
      </c>
      <c r="B11">
        <v>140</v>
      </c>
      <c r="D11">
        <v>384</v>
      </c>
    </row>
    <row r="12" spans="1:5">
      <c r="A12">
        <v>50</v>
      </c>
      <c r="B12">
        <v>108</v>
      </c>
      <c r="D12">
        <v>288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Σταματιος Σεττας</dc:creator>
  <cp:keywords/>
  <dc:description/>
  <cp:lastModifiedBy>Δημητριος Μιχαλακοπουλος</cp:lastModifiedBy>
  <cp:revision/>
  <dcterms:created xsi:type="dcterms:W3CDTF">2025-03-10T15:49:32Z</dcterms:created>
  <dcterms:modified xsi:type="dcterms:W3CDTF">2025-04-16T17:09:19Z</dcterms:modified>
  <cp:category/>
  <cp:contentStatus/>
</cp:coreProperties>
</file>